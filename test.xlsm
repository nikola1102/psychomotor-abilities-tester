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la\Desktop\"/>
    </mc:Choice>
  </mc:AlternateContent>
  <xr:revisionPtr revIDLastSave="0" documentId="13_ncr:1_{A5E7BAB5-4F91-4CFF-A0A3-5E192B5BFDC5}" xr6:coauthVersionLast="47" xr6:coauthVersionMax="47" xr10:uidLastSave="{00000000-0000-0000-0000-000000000000}"/>
  <bookViews>
    <workbookView xWindow="-120" yWindow="-120" windowWidth="20730" windowHeight="11160" xr2:uid="{9BD498B0-EE1F-4935-874F-631CC472DCF3}"/>
  </bookViews>
  <sheets>
    <sheet name="list" sheetId="7" r:id="rId1"/>
    <sheet name="Podaci u" sheetId="5" r:id="rId2"/>
    <sheet name="Podaci izvan" sheetId="4" r:id="rId3"/>
    <sheet name="Postavke" sheetId="3" r:id="rId4"/>
    <sheet name="Manifest" sheetId="2" r:id="rId5"/>
  </sheets>
  <definedNames>
    <definedName name="DataChannelCountSetting">Postavke!$C$8</definedName>
    <definedName name="DataDelaySetting">Postavke!$C$4</definedName>
    <definedName name="DataOrientationSetting">Postavke!$C$10</definedName>
    <definedName name="DataRowCountSetting">Postavke!$C$6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7" l="1"/>
  <c r="D24" i="7" s="1"/>
  <c r="E39" i="7"/>
  <c r="B27" i="7" l="1"/>
  <c r="D23" i="7"/>
  <c r="C29" i="7"/>
  <c r="D31" i="7"/>
  <c r="B31" i="7"/>
  <c r="B26" i="7"/>
  <c r="C23" i="7"/>
  <c r="C27" i="7"/>
  <c r="D30" i="7"/>
  <c r="B30" i="7"/>
  <c r="B25" i="7"/>
  <c r="C31" i="7"/>
  <c r="C26" i="7"/>
  <c r="D27" i="7"/>
  <c r="B29" i="7"/>
  <c r="B23" i="7"/>
  <c r="C30" i="7"/>
  <c r="C25" i="7"/>
  <c r="D26" i="7"/>
  <c r="B32" i="7"/>
  <c r="B28" i="7"/>
  <c r="B24" i="7"/>
  <c r="C32" i="7"/>
  <c r="C28" i="7"/>
  <c r="C24" i="7"/>
  <c r="D29" i="7"/>
  <c r="D25" i="7"/>
  <c r="D32" i="7"/>
  <c r="D28" i="7"/>
  <c r="D39" i="7" l="1"/>
  <c r="D35" i="7"/>
  <c r="C35" i="7"/>
  <c r="C39" i="7"/>
  <c r="B39" i="7"/>
  <c r="B35" i="7"/>
</calcChain>
</file>

<file path=xl/sharedStrings.xml><?xml version="1.0" encoding="utf-8"?>
<sst xmlns="http://schemas.openxmlformats.org/spreadsheetml/2006/main" count="109" uniqueCount="50">
  <si>
    <t>Kanali</t>
  </si>
  <si>
    <t>ID izvora podataka</t>
  </si>
  <si>
    <t>Interval podataka (ms)</t>
  </si>
  <si>
    <t>Brzina prijenosa</t>
  </si>
  <si>
    <t>USB-SERIAL CH340</t>
  </si>
  <si>
    <t>Ovaj je manifest generiran za povezani uređaj. Ovdje možete urediti naziv uređaja i podatke kanala da biste ažurirali podatke na radnom listu.</t>
  </si>
  <si>
    <t>ID</t>
  </si>
  <si>
    <t>Naziv</t>
  </si>
  <si>
    <t>Opis</t>
  </si>
  <si>
    <t>Mjerne jedinice</t>
  </si>
  <si>
    <t>Aktivno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</si>
  <si>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</si>
  <si>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</si>
  <si>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</si>
  <si>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</si>
  <si>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</si>
  <si>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</si>
  <si>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</si>
  <si>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</si>
  <si>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</si>
  <si>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</si>
  <si>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</si>
  <si>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Postavke radne knjige</t>
  </si>
  <si>
    <t>Postavke navedene u nastavku utjecat će na način čitanja podataka u trenutnoj radnoj knjizi iz izvora podataka. Očistite sadržaj polja da biste vratili zadanu postavku.</t>
  </si>
  <si>
    <t>Podatkovni reci</t>
  </si>
  <si>
    <t>Kanali podataka</t>
  </si>
  <si>
    <t>Usmjerenje podataka</t>
  </si>
  <si>
    <t>Najnovije posljednje</t>
  </si>
  <si>
    <r>
      <t>UPOZORENJE:</t>
    </r>
    <r>
      <rPr>
        <sz val="11"/>
        <color theme="1"/>
        <rFont val="Segoe UI Light"/>
        <family val="2"/>
        <charset val="238"/>
      </rPr>
      <t xml:space="preserve"> promjena postavki može uzrokovati gubitak sadržaja i/ili prilagođenog oblikovanja u radnim listovima Podaci u i Podaci iz. Uvijek spremite prije mijenjanja vrijednosti.</t>
    </r>
  </si>
  <si>
    <t>Podaci iz (u uređaj)</t>
  </si>
  <si>
    <t>Podaci sadržani u kanalima navedenim nastavku kanale bit će poslani na trenutačno povezani uređaj kao niz podataka razdvojenih zarezima.</t>
  </si>
  <si>
    <t>Izvor podataka (izvor: USB-SERIAL CH340 (COM3))</t>
  </si>
  <si>
    <t>Podaci iz trenutnog izvora podataka prikazivat će se u nastavku redoslijedom primanja.</t>
  </si>
  <si>
    <t>Trenutačni podaci</t>
  </si>
  <si>
    <t>TIME</t>
  </si>
  <si>
    <t>Povijesni podaci</t>
  </si>
  <si>
    <t>Prvo najnovije</t>
  </si>
  <si>
    <t>Vrijeme reakcije na svjetlost [ms]</t>
  </si>
  <si>
    <t>Vrijeme reakcije na svjetlost različitih boja [ms]</t>
  </si>
  <si>
    <t>Vrijeme reakcije na zvuk [ms]</t>
  </si>
  <si>
    <t>Broj uzorka</t>
  </si>
  <si>
    <t>Kalibracija [µs]</t>
  </si>
  <si>
    <t>Prosječno vrijeme:</t>
  </si>
  <si>
    <t>Reakcija na svjetlost</t>
  </si>
  <si>
    <t>Reakcija na svjetlost različitih boja</t>
  </si>
  <si>
    <t>Kalibracija</t>
  </si>
  <si>
    <t>Standardna devijacija:</t>
  </si>
  <si>
    <t>PODACI DOBIVENI NAKON ODUZIMANJA VREMENA KAŠNJENJA UREĐAJA</t>
  </si>
  <si>
    <t>Reakcija na zvuk</t>
  </si>
  <si>
    <t>8808A77E-7813-40E6-B10F-DC1EDED703A9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</si>
</sst>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:mm:ss.00"/>
    <numFmt numFmtId="165" formatCode="[$-F400]h:mm:ss\ AM/PM"/>
    <numFmt numFmtId="166" formatCode="0.000"/>
  </numFmts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Segoe UI Light"/>
      <family val="2"/>
      <charset val="238"/>
    </font>
    <font>
      <sz val="16"/>
      <color rgb="FF696969"/>
      <name val="Segoe UI Light"/>
      <family val="2"/>
      <charset val="238"/>
    </font>
    <font>
      <sz val="1"/>
      <color rgb="FFFFFFFF"/>
      <name val="Calibri"/>
      <family val="2"/>
      <charset val="238"/>
      <scheme val="minor"/>
    </font>
    <font>
      <sz val="11"/>
      <color rgb="FF000000"/>
      <name val="Segoe UI Light"/>
      <family val="2"/>
      <charset val="238"/>
    </font>
    <font>
      <sz val="10"/>
      <color rgb="FF000000"/>
      <name val="Segoe UI Light"/>
      <family val="2"/>
      <charset val="238"/>
    </font>
    <font>
      <sz val="20"/>
      <color rgb="FF696969"/>
      <name val="Segoe UI Light"/>
      <family val="2"/>
      <charset val="238"/>
    </font>
    <font>
      <sz val="11"/>
      <color rgb="FF696969"/>
      <name val="Segoe UI Light"/>
      <family val="2"/>
      <charset val="238"/>
    </font>
    <font>
      <b/>
      <sz val="15"/>
      <color rgb="FFFFFFFF"/>
      <name val="Segoe UI"/>
      <family val="2"/>
      <charset val="238"/>
    </font>
    <font>
      <sz val="10"/>
      <color rgb="FF000000"/>
      <name val="Segoe UI"/>
      <family val="2"/>
      <charset val="238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  <charset val="238"/>
    </font>
    <font>
      <sz val="11"/>
      <color rgb="FFFF0000"/>
      <name val="Segoe UI Light"/>
      <family val="2"/>
      <charset val="238"/>
    </font>
    <font>
      <sz val="10"/>
      <color rgb="FF505050"/>
      <name val="Segoe UI"/>
      <family val="2"/>
      <charset val="238"/>
    </font>
    <font>
      <sz val="11"/>
      <color rgb="FF505050"/>
      <name val="Segoe UI"/>
      <family val="2"/>
      <charset val="238"/>
    </font>
    <font>
      <sz val="13"/>
      <color rgb="FF505050"/>
      <name val="Segoe UI"/>
      <family val="2"/>
      <charset val="238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hair">
        <color rgb="FFBFBFBF"/>
      </bottom>
      <diagonal/>
    </border>
    <border>
      <left style="medium">
        <color indexed="64"/>
      </left>
      <right style="thin">
        <color indexed="64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2" xfId="0" applyFont="1" applyFill="1" applyBorder="1" applyAlignment="1" applyProtection="1">
      <alignment horizontal="left" vertical="center" inden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4" fillId="9" borderId="5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left" vertical="center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0" fontId="5" fillId="6" borderId="11" xfId="0" applyFont="1" applyFill="1" applyBorder="1" applyAlignment="1" applyProtection="1">
      <alignment horizontal="left" vertical="center" indent="1"/>
      <protection locked="0"/>
    </xf>
    <xf numFmtId="0" fontId="10" fillId="6" borderId="12" xfId="0" applyFont="1" applyFill="1" applyBorder="1" applyAlignment="1" applyProtection="1">
      <alignment horizontal="left" vertical="center" indent="1"/>
      <protection locked="0"/>
    </xf>
    <xf numFmtId="0" fontId="5" fillId="6" borderId="13" xfId="0" applyFont="1" applyFill="1" applyBorder="1" applyAlignment="1" applyProtection="1">
      <alignment horizontal="left" vertical="center" indent="1"/>
      <protection locked="0"/>
    </xf>
    <xf numFmtId="0" fontId="5" fillId="6" borderId="14" xfId="0" applyFont="1" applyFill="1" applyBorder="1" applyAlignment="1" applyProtection="1">
      <alignment horizontal="left" vertical="center" indent="1"/>
      <protection locked="0"/>
    </xf>
    <xf numFmtId="0" fontId="5" fillId="6" borderId="15" xfId="0" applyFont="1" applyFill="1" applyBorder="1" applyAlignment="1" applyProtection="1">
      <alignment horizontal="left" vertical="center" indent="1"/>
      <protection locked="0"/>
    </xf>
    <xf numFmtId="0" fontId="5" fillId="6" borderId="17" xfId="0" applyFont="1" applyFill="1" applyBorder="1" applyAlignment="1" applyProtection="1">
      <alignment horizontal="left" vertical="center" indent="1"/>
      <protection locked="0"/>
    </xf>
    <xf numFmtId="0" fontId="10" fillId="6" borderId="16" xfId="0" applyFont="1" applyFill="1" applyBorder="1" applyAlignment="1" applyProtection="1">
      <alignment horizontal="left" vertical="center" indent="1"/>
      <protection locked="0"/>
    </xf>
    <xf numFmtId="0" fontId="14" fillId="11" borderId="6" xfId="0" applyFont="1" applyFill="1" applyBorder="1" applyAlignment="1" applyProtection="1">
      <alignment horizontal="right" vertical="center" indent="1"/>
      <protection locked="0"/>
    </xf>
    <xf numFmtId="0" fontId="14" fillId="12" borderId="9" xfId="0" applyFont="1" applyFill="1" applyBorder="1" applyAlignment="1" applyProtection="1">
      <alignment horizontal="right" vertical="center" indent="1"/>
      <protection locked="0"/>
    </xf>
    <xf numFmtId="0" fontId="14" fillId="13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7" fillId="0" borderId="18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0" xfId="0" applyBorder="1"/>
    <xf numFmtId="165" fontId="0" fillId="0" borderId="20" xfId="0" applyNumberFormat="1" applyBorder="1"/>
    <xf numFmtId="165" fontId="0" fillId="0" borderId="24" xfId="0" applyNumberFormat="1" applyBorder="1" applyAlignment="1">
      <alignment horizontal="center"/>
    </xf>
    <xf numFmtId="0" fontId="0" fillId="0" borderId="25" xfId="0" applyBorder="1"/>
    <xf numFmtId="165" fontId="0" fillId="0" borderId="23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0" fontId="17" fillId="0" borderId="28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" fontId="14" fillId="13" borderId="21" xfId="0" applyNumberFormat="1" applyFont="1" applyFill="1" applyBorder="1" applyAlignment="1" applyProtection="1">
      <alignment horizontal="center" vertical="center"/>
      <protection locked="0"/>
    </xf>
    <xf numFmtId="1" fontId="14" fillId="12" borderId="22" xfId="0" applyNumberFormat="1" applyFont="1" applyFill="1" applyBorder="1" applyAlignment="1" applyProtection="1">
      <alignment horizontal="center" vertical="center"/>
      <protection locked="0"/>
    </xf>
    <xf numFmtId="1" fontId="14" fillId="13" borderId="23" xfId="0" applyNumberFormat="1" applyFont="1" applyFill="1" applyBorder="1" applyAlignment="1" applyProtection="1">
      <alignment horizontal="center" vertical="center"/>
      <protection locked="0"/>
    </xf>
    <xf numFmtId="0" fontId="17" fillId="0" borderId="31" xfId="0" applyFont="1" applyBorder="1" applyAlignment="1">
      <alignment horizontal="center"/>
    </xf>
    <xf numFmtId="164" fontId="14" fillId="11" borderId="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9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8" xfId="0" applyNumberFormat="1" applyFont="1" applyFill="1" applyBorder="1" applyAlignment="1" applyProtection="1">
      <alignment horizontal="left" vertical="center" indent="1"/>
      <protection locked="0"/>
    </xf>
    <xf numFmtId="0" fontId="14" fillId="13" borderId="8" xfId="0" applyFont="1" applyFill="1" applyBorder="1" applyAlignment="1" applyProtection="1">
      <alignment horizontal="right" vertical="center" indent="1"/>
    </xf>
    <xf numFmtId="0" fontId="5" fillId="3" borderId="0" xfId="0" applyFont="1" applyFill="1" applyAlignment="1" applyProtection="1">
      <alignment horizontal="left" vertical="center" indent="1"/>
    </xf>
    <xf numFmtId="165" fontId="17" fillId="0" borderId="0" xfId="0" applyNumberFormat="1" applyFont="1" applyBorder="1" applyAlignment="1">
      <alignment horizontal="center"/>
    </xf>
    <xf numFmtId="165" fontId="0" fillId="0" borderId="19" xfId="0" applyNumberFormat="1" applyBorder="1" applyAlignment="1">
      <alignment horizontal="center" vertical="center" wrapText="1"/>
    </xf>
    <xf numFmtId="165" fontId="0" fillId="0" borderId="30" xfId="0" applyNumberFormat="1" applyBorder="1" applyAlignment="1">
      <alignment horizontal="center" vertical="center" wrapText="1"/>
    </xf>
    <xf numFmtId="166" fontId="0" fillId="0" borderId="29" xfId="0" applyNumberFormat="1" applyBorder="1" applyAlignment="1">
      <alignment horizontal="center" vertical="center"/>
    </xf>
    <xf numFmtId="166" fontId="0" fillId="0" borderId="28" xfId="0" applyNumberFormat="1" applyBorder="1" applyAlignment="1">
      <alignment horizontal="center" vertical="center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7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</cellXfs>
  <cellStyles count="1">
    <cellStyle name="Normalno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2" formatCode="0.00"/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" formatCode="0"/>
      <fill>
        <patternFill patternType="solid">
          <fgColor indexed="64"/>
          <bgColor rgb="FFFCFCF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" formatCode="0"/>
      <fill>
        <patternFill patternType="solid">
          <fgColor indexed="64"/>
          <bgColor rgb="FFFCFCF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hair">
          <color rgb="FFBFBFBF"/>
        </top>
        <bottom style="hair">
          <color rgb="FFBFBFBF"/>
        </bottom>
        <vertical/>
        <horizontal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AF42F7AF-7B7E-4B4F-B280-19818DF1980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r-HR"/>
              <a:t>Vrijeme reakcije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list!$B$22</c:f>
              <c:strCache>
                <c:ptCount val="1"/>
                <c:pt idx="0">
                  <c:v>Vrijeme reakcije na svjetlost [ms]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list!$A$23:$A$32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list!$B$23:$B$32</c:f>
              <c:numCache>
                <c:formatCode>General</c:formatCode>
                <c:ptCount val="10"/>
                <c:pt idx="0">
                  <c:v>216.07240000000002</c:v>
                </c:pt>
                <c:pt idx="1">
                  <c:v>192.4024</c:v>
                </c:pt>
                <c:pt idx="2">
                  <c:v>276.7824</c:v>
                </c:pt>
                <c:pt idx="3">
                  <c:v>209.32240000000002</c:v>
                </c:pt>
                <c:pt idx="4">
                  <c:v>252.7724</c:v>
                </c:pt>
                <c:pt idx="5">
                  <c:v>233.05240000000001</c:v>
                </c:pt>
                <c:pt idx="6">
                  <c:v>214.25240000000002</c:v>
                </c:pt>
                <c:pt idx="7">
                  <c:v>184.16240000000002</c:v>
                </c:pt>
                <c:pt idx="8">
                  <c:v>223.06240000000003</c:v>
                </c:pt>
                <c:pt idx="9">
                  <c:v>337.48239999999998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6F-491E-99EC-133B89ED9599}"/>
            </c:ext>
          </c:extLst>
        </c:ser>
        <c:ser>
          <c:idx val="2"/>
          <c:order val="2"/>
          <c:tx>
            <c:strRef>
              <c:f>list!$D$22</c:f>
              <c:strCache>
                <c:ptCount val="1"/>
                <c:pt idx="0">
                  <c:v>Vrijeme reakcije na zvuk [ms]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list!$A$23:$A$32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list!$D$23:$D$32</c:f>
              <c:numCache>
                <c:formatCode>General</c:formatCode>
                <c:ptCount val="10"/>
                <c:pt idx="0">
                  <c:v>259.3424</c:v>
                </c:pt>
                <c:pt idx="1">
                  <c:v>256.70240000000001</c:v>
                </c:pt>
                <c:pt idx="2">
                  <c:v>251.34240000000003</c:v>
                </c:pt>
                <c:pt idx="3">
                  <c:v>221.50240000000002</c:v>
                </c:pt>
                <c:pt idx="4">
                  <c:v>259.08240000000001</c:v>
                </c:pt>
                <c:pt idx="5">
                  <c:v>267.47239999999999</c:v>
                </c:pt>
                <c:pt idx="6">
                  <c:v>402.30239999999998</c:v>
                </c:pt>
                <c:pt idx="7">
                  <c:v>402.47239999999999</c:v>
                </c:pt>
                <c:pt idx="8">
                  <c:v>276.76239999999996</c:v>
                </c:pt>
                <c:pt idx="9">
                  <c:v>299.1524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6F-491E-99EC-133B89E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574415"/>
        <c:axId val="1115577327"/>
      </c:scatterChart>
      <c:scatterChart>
        <c:scatterStyle val="smoothMarker"/>
        <c:varyColors val="0"/>
        <c:ser>
          <c:idx val="1"/>
          <c:order val="1"/>
          <c:tx>
            <c:strRef>
              <c:f>list!$C$22</c:f>
              <c:strCache>
                <c:ptCount val="1"/>
                <c:pt idx="0">
                  <c:v>Vrijeme reakcije na svjetlost različitih boja [ms]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list!$A$23:$A$32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list!$C$23:$C$32</c:f>
              <c:numCache>
                <c:formatCode>General</c:formatCode>
                <c:ptCount val="10"/>
                <c:pt idx="0">
                  <c:v>616.87239999999997</c:v>
                </c:pt>
                <c:pt idx="1">
                  <c:v>437.97239999999999</c:v>
                </c:pt>
                <c:pt idx="2">
                  <c:v>402.30239999999998</c:v>
                </c:pt>
                <c:pt idx="3">
                  <c:v>369.04239999999999</c:v>
                </c:pt>
                <c:pt idx="4">
                  <c:v>527.76239999999996</c:v>
                </c:pt>
                <c:pt idx="5">
                  <c:v>490.48239999999998</c:v>
                </c:pt>
                <c:pt idx="6">
                  <c:v>445.07239999999996</c:v>
                </c:pt>
                <c:pt idx="7">
                  <c:v>552.8424</c:v>
                </c:pt>
                <c:pt idx="8">
                  <c:v>479.23239999999998</c:v>
                </c:pt>
                <c:pt idx="9">
                  <c:v>451.25239999999997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6F-491E-99EC-133B89E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676047"/>
        <c:axId val="738668143"/>
      </c:scatterChart>
      <c:valAx>
        <c:axId val="1115574415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r-HR"/>
                  <a:t>Broj uzorka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1115577327"/>
        <c:crosses val="autoZero"/>
        <c:crossBetween val="midCat"/>
      </c:valAx>
      <c:valAx>
        <c:axId val="11155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r-HR"/>
                  <a:t>Vrijeme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1115574415"/>
        <c:crosses val="autoZero"/>
        <c:crossBetween val="midCat"/>
      </c:valAx>
      <c:valAx>
        <c:axId val="738668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738676047"/>
        <c:crosses val="max"/>
        <c:crossBetween val="midCat"/>
      </c:valAx>
      <c:valAx>
        <c:axId val="73867604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38668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14</xdr:row>
          <xdr:rowOff>19050</xdr:rowOff>
        </xdr:from>
        <xdr:to>
          <xdr:col>1</xdr:col>
          <xdr:colOff>2009775</xdr:colOff>
          <xdr:row>16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Prijenos podataka</a:t>
              </a:r>
            </a:p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reakcije na svjetlost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14</xdr:row>
          <xdr:rowOff>19050</xdr:rowOff>
        </xdr:from>
        <xdr:to>
          <xdr:col>2</xdr:col>
          <xdr:colOff>2390775</xdr:colOff>
          <xdr:row>16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Prijenos podataka</a:t>
              </a:r>
            </a:p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reakcije na boje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14</xdr:row>
          <xdr:rowOff>9525</xdr:rowOff>
        </xdr:from>
        <xdr:to>
          <xdr:col>3</xdr:col>
          <xdr:colOff>2066925</xdr:colOff>
          <xdr:row>16</xdr:row>
          <xdr:rowOff>171450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Prijenos podataka</a:t>
              </a:r>
            </a:p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reakcije na zvuk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14</xdr:row>
          <xdr:rowOff>9525</xdr:rowOff>
        </xdr:from>
        <xdr:to>
          <xdr:col>4</xdr:col>
          <xdr:colOff>2057400</xdr:colOff>
          <xdr:row>16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Prijenos podataka</a:t>
              </a:r>
            </a:p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kalibracije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904875</xdr:colOff>
      <xdr:row>11</xdr:row>
      <xdr:rowOff>123825</xdr:rowOff>
    </xdr:from>
    <xdr:to>
      <xdr:col>1</xdr:col>
      <xdr:colOff>1247775</xdr:colOff>
      <xdr:row>13</xdr:row>
      <xdr:rowOff>85725</xdr:rowOff>
    </xdr:to>
    <xdr:sp macro="" textlink="">
      <xdr:nvSpPr>
        <xdr:cNvPr id="2" name="Elips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57375" y="2457450"/>
          <a:ext cx="342900" cy="3429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2</xdr:col>
      <xdr:colOff>862759</xdr:colOff>
      <xdr:row>11</xdr:row>
      <xdr:rowOff>126907</xdr:rowOff>
    </xdr:from>
    <xdr:to>
      <xdr:col>2</xdr:col>
      <xdr:colOff>2070193</xdr:colOff>
      <xdr:row>13</xdr:row>
      <xdr:rowOff>89927</xdr:rowOff>
    </xdr:to>
    <xdr:grpSp>
      <xdr:nvGrpSpPr>
        <xdr:cNvPr id="7" name="Grup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596559" y="2441482"/>
          <a:ext cx="1207434" cy="344020"/>
          <a:chOff x="3957918" y="2344271"/>
          <a:chExt cx="1207434" cy="344020"/>
        </a:xfrm>
      </xdr:grpSpPr>
      <xdr:sp macro="" textlink="">
        <xdr:nvSpPr>
          <xdr:cNvPr id="8" name="Elips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957918" y="2345390"/>
            <a:ext cx="342900" cy="342900"/>
          </a:xfrm>
          <a:prstGeom prst="ellipse">
            <a:avLst/>
          </a:prstGeom>
          <a:solidFill>
            <a:srgbClr val="FF0000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9" name="Elips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388224" y="2344271"/>
            <a:ext cx="342900" cy="342900"/>
          </a:xfrm>
          <a:prstGeom prst="ellipse">
            <a:avLst/>
          </a:prstGeom>
          <a:solidFill>
            <a:srgbClr val="00B050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10" name="Elipsa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822452" y="2345391"/>
            <a:ext cx="342900" cy="342900"/>
          </a:xfrm>
          <a:prstGeom prst="ellipse">
            <a:avLst/>
          </a:prstGeom>
          <a:solidFill>
            <a:srgbClr val="0070C0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>
    <xdr:from>
      <xdr:col>3</xdr:col>
      <xdr:colOff>893884</xdr:colOff>
      <xdr:row>11</xdr:row>
      <xdr:rowOff>28676</xdr:rowOff>
    </xdr:from>
    <xdr:to>
      <xdr:col>3</xdr:col>
      <xdr:colOff>1372598</xdr:colOff>
      <xdr:row>13</xdr:row>
      <xdr:rowOff>154542</xdr:rowOff>
    </xdr:to>
    <xdr:grpSp>
      <xdr:nvGrpSpPr>
        <xdr:cNvPr id="6" name="Grup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780459" y="2343251"/>
          <a:ext cx="478714" cy="506866"/>
          <a:chOff x="6582455" y="2361778"/>
          <a:chExt cx="478714" cy="506866"/>
        </a:xfrm>
      </xdr:grpSpPr>
      <xdr:sp macro="" textlink="">
        <xdr:nvSpPr>
          <xdr:cNvPr id="4" name="Jednakokračni troku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16200000">
            <a:off x="6589260" y="2396734"/>
            <a:ext cx="506866" cy="436953"/>
          </a:xfrm>
          <a:prstGeom prst="triangle">
            <a:avLst/>
          </a:prstGeom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" name="Pravokutnik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582455" y="2473779"/>
            <a:ext cx="285750" cy="285750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>
    <xdr:from>
      <xdr:col>0</xdr:col>
      <xdr:colOff>0</xdr:colOff>
      <xdr:row>40</xdr:row>
      <xdr:rowOff>100012</xdr:rowOff>
    </xdr:from>
    <xdr:to>
      <xdr:col>4</xdr:col>
      <xdr:colOff>2324100</xdr:colOff>
      <xdr:row>54</xdr:row>
      <xdr:rowOff>176212</xdr:rowOff>
    </xdr:to>
    <xdr:graphicFrame macro="">
      <xdr:nvGraphicFramePr>
        <xdr:cNvPr id="11" name="Grafiko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10" name="Pravokutnik 9">
          <a:extLst>
            <a:ext uri="{FF2B5EF4-FFF2-40B4-BE49-F238E27FC236}">
              <a16:creationId xmlns:a16="http://schemas.microsoft.com/office/drawing/2014/main" id="{6DBFE4F7-6A8F-45B0-8932-4B98A4C505C4}"/>
            </a:ext>
          </a:extLst>
        </xdr:cNvPr>
        <xdr:cNvSpPr/>
      </xdr:nvSpPr>
      <xdr:spPr>
        <a:xfrm>
          <a:off x="8124825" y="206692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hr-HR" sz="1100">
              <a:solidFill>
                <a:srgbClr val="000000"/>
              </a:solidFill>
            </a:rPr>
            <a:t>"◀ najnovije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12119D-9F4A-4A88-828D-9AF50BE710F4}" name="Tablica3" displayName="Tablica3" ref="A1:E11" totalsRowShown="0" headerRowDxfId="40" headerRowBorderDxfId="39" tableBorderDxfId="38">
  <autoFilter ref="A1:E11" xr:uid="{54AF882B-C1E0-4962-B99B-2FE1814E5BCE}"/>
  <tableColumns count="5">
    <tableColumn id="1" xr3:uid="{3CB214F8-8B46-4BFF-A081-248A9157E7BC}" name="Broj uzorka" dataDxfId="37"/>
    <tableColumn id="2" xr3:uid="{DB79E35F-7BBA-4FA8-A217-3FC9146DE777}" name="Vrijeme reakcije na svjetlost [ms]" dataDxfId="2"/>
    <tableColumn id="3" xr3:uid="{EB14C004-1920-498F-9FC9-CBE8895D3051}" name="Vrijeme reakcije na svjetlost različitih boja [ms]" dataDxfId="1"/>
    <tableColumn id="4" xr3:uid="{7DB32FC0-405E-4C04-B13A-5F21F46A75ED}" name="Vrijeme reakcije na zvuk [ms]" dataDxfId="0"/>
    <tableColumn id="5" xr3:uid="{A69B075E-CC80-4730-B847-443E0DC79524}" name="Kalibracija [µs]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7F234B-7087-4501-A887-DD29F93431E1}" name="Tablica38" displayName="Tablica38" ref="A22:D32" totalsRowShown="0" headerRowDxfId="36" headerRowBorderDxfId="35" tableBorderDxfId="34">
  <autoFilter ref="A22:D32" xr:uid="{6FFD2028-4893-4D73-80E0-F0BFC1248101}"/>
  <tableColumns count="4">
    <tableColumn id="1" xr3:uid="{145A19B4-BCD2-4DCF-8DED-A47FD1190B80}" name="Broj uzorka" dataDxfId="33"/>
    <tableColumn id="2" xr3:uid="{0A2F0A5D-0E5B-45DD-B566-6DD141B30986}" name="Vrijeme reakcije na svjetlost [ms]" dataDxfId="32">
      <calculatedColumnFormula>B2-$E$35/1000</calculatedColumnFormula>
    </tableColumn>
    <tableColumn id="3" xr3:uid="{1135B23E-47B5-4551-AEEB-517DDCF8D489}" name="Vrijeme reakcije na svjetlost različitih boja [ms]" dataDxfId="31">
      <calculatedColumnFormula>C2-$E$35/1000</calculatedColumnFormula>
    </tableColumn>
    <tableColumn id="4" xr3:uid="{7B0FE4F0-4A17-4E22-9930-61B5C75CFAF6}" name="Vrijeme reakcije na zvuk [ms]" dataDxfId="30">
      <calculatedColumnFormula>D2-$E$35/1000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4B048E-51DB-4701-96A5-287594C83387}" name="TBL_CUR" displayName="TBL_CUR" ref="A4:K5" totalsRowShown="0" headerRowDxfId="28" dataDxfId="26">
  <autoFilter ref="A4:K5" xr:uid="{E3E23B57-7E13-41D8-A0D9-486EFCCE80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0" xr3:uid="{124D3F79-3D4D-457D-A107-327E15505CED}" name="TIME" dataDxfId="15"/>
    <tableColumn id="11" xr3:uid="{F52F156E-75A2-43B6-A131-AE1AF1B287A9}" name="CH1" dataDxfId="16"/>
    <tableColumn id="1" xr3:uid="{30F21767-DE3B-4D4E-B078-62F34D95DCE4}" name="CH2" dataDxfId="25"/>
    <tableColumn id="2" xr3:uid="{8A653A4D-C905-4D8A-ADC5-F25B36DD88A1}" name="CH3" dataDxfId="24"/>
    <tableColumn id="3" xr3:uid="{D7EB82A4-3EA9-4613-B5DB-63489E8B335B}" name="CH4" dataDxfId="23"/>
    <tableColumn id="4" xr3:uid="{D1B0B81C-3461-4378-B636-C114B9466971}" name="CH5" dataDxfId="22"/>
    <tableColumn id="5" xr3:uid="{5DB0D842-E40E-4599-A935-E9DC44A0FA08}" name="CH6" dataDxfId="21"/>
    <tableColumn id="6" xr3:uid="{71337361-955B-4777-B031-AEA0E8AD6E5D}" name="CH7" dataDxfId="20"/>
    <tableColumn id="7" xr3:uid="{B22FADE8-64AB-4B8A-9449-922B08DE1661}" name="CH8" dataDxfId="19"/>
    <tableColumn id="8" xr3:uid="{A67F1342-161E-4B61-A574-98493E0AD93D}" name="CH9" dataDxfId="18"/>
    <tableColumn id="9" xr3:uid="{F33470F2-4DFA-4729-AA5C-B117826FD6D3}" name="CH10" dataDxfId="17"/>
  </tableColumns>
  <tableStyleInfo name="Invisi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CA0867-2AB8-4E16-8393-8DC6373722B8}" name="TBL_HST" displayName="TBL_HST" ref="A7:K17" totalsRowShown="0" headerRowDxfId="27" dataDxfId="14">
  <autoFilter ref="A7:K17" xr:uid="{5D198046-5DDB-499E-B3AB-C0D3E2366D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0" xr3:uid="{428BC814-09F4-4363-BDD3-C409CA4B3B9F}" name="TIME" dataDxfId="3"/>
    <tableColumn id="11" xr3:uid="{886EB688-FD7E-4038-AEB7-1330441DCC3F}" name="CH1" dataDxfId="4"/>
    <tableColumn id="1" xr3:uid="{92C67244-348E-484C-A909-4D4F76F2AACD}" name="CH2" dataDxfId="13"/>
    <tableColumn id="2" xr3:uid="{80933C9A-110A-40FB-8BA8-27B4AB335EF3}" name="CH3" dataDxfId="12"/>
    <tableColumn id="3" xr3:uid="{FAF0BDFF-7386-4256-AAD1-CF06211560B6}" name="CH4" dataDxfId="11"/>
    <tableColumn id="4" xr3:uid="{1FB336B3-7BCB-47C4-A0FA-AB1FDEE05726}" name="CH5" dataDxfId="10"/>
    <tableColumn id="5" xr3:uid="{5189907A-3955-4332-80E1-0207042456AF}" name="CH6" dataDxfId="9"/>
    <tableColumn id="6" xr3:uid="{BA740871-24C3-451F-9D75-6404A35B03AD}" name="CH7" dataDxfId="8"/>
    <tableColumn id="7" xr3:uid="{3F6AAA58-E1CD-4430-AEE1-017BA295C350}" name="CH8" dataDxfId="7"/>
    <tableColumn id="8" xr3:uid="{525BB423-3A78-4BD4-A2A6-D3E902B8BA7A}" name="CH9" dataDxfId="6"/>
    <tableColumn id="9" xr3:uid="{B9F1686C-D7A7-4DF2-8F73-5F6DFBDCE002}" name="CH10" dataDxfId="5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9A4A-10B8-40B6-AB10-D6B02E29F64F}">
  <sheetPr codeName="List6"/>
  <dimension ref="A1:E40"/>
  <sheetViews>
    <sheetView tabSelected="1" topLeftCell="A32" zoomScaleNormal="100" workbookViewId="0">
      <selection activeCell="E19" sqref="E19"/>
    </sheetView>
  </sheetViews>
  <sheetFormatPr defaultRowHeight="15" x14ac:dyDescent="0.25"/>
  <cols>
    <col min="1" max="1" width="20.42578125" style="25" customWidth="1"/>
    <col min="2" max="2" width="35.5703125" style="26" customWidth="1"/>
    <col min="3" max="3" width="47.28515625" customWidth="1"/>
    <col min="4" max="5" width="35" customWidth="1"/>
  </cols>
  <sheetData>
    <row r="1" spans="1:5" ht="15.75" thickBot="1" x14ac:dyDescent="0.3">
      <c r="A1" s="27" t="s">
        <v>40</v>
      </c>
      <c r="B1" s="27" t="s">
        <v>37</v>
      </c>
      <c r="C1" s="28" t="s">
        <v>38</v>
      </c>
      <c r="D1" s="28" t="s">
        <v>39</v>
      </c>
      <c r="E1" s="49" t="s">
        <v>41</v>
      </c>
    </row>
    <row r="2" spans="1:5" ht="17.25" thickTop="1" x14ac:dyDescent="0.25">
      <c r="A2" s="46">
        <v>1</v>
      </c>
      <c r="B2" s="24">
        <v>216.09</v>
      </c>
      <c r="C2" s="24">
        <v>616.89</v>
      </c>
      <c r="D2" s="24">
        <v>259.36</v>
      </c>
      <c r="E2" s="24">
        <v>20</v>
      </c>
    </row>
    <row r="3" spans="1:5" ht="16.5" x14ac:dyDescent="0.25">
      <c r="A3" s="47">
        <v>2</v>
      </c>
      <c r="B3" s="23">
        <v>192.42</v>
      </c>
      <c r="C3" s="23">
        <v>437.99</v>
      </c>
      <c r="D3" s="23">
        <v>256.72000000000003</v>
      </c>
      <c r="E3" s="23">
        <v>16</v>
      </c>
    </row>
    <row r="4" spans="1:5" ht="16.5" x14ac:dyDescent="0.25">
      <c r="A4" s="47">
        <v>3</v>
      </c>
      <c r="B4" s="23">
        <v>276.8</v>
      </c>
      <c r="C4" s="23">
        <v>402.32</v>
      </c>
      <c r="D4" s="23">
        <v>251.36</v>
      </c>
      <c r="E4" s="23">
        <v>16</v>
      </c>
    </row>
    <row r="5" spans="1:5" ht="16.5" x14ac:dyDescent="0.25">
      <c r="A5" s="46">
        <v>4</v>
      </c>
      <c r="B5" s="23">
        <v>209.34</v>
      </c>
      <c r="C5" s="23">
        <v>369.06</v>
      </c>
      <c r="D5" s="23">
        <v>221.52</v>
      </c>
      <c r="E5" s="23">
        <v>16</v>
      </c>
    </row>
    <row r="6" spans="1:5" ht="16.5" x14ac:dyDescent="0.25">
      <c r="A6" s="47">
        <v>5</v>
      </c>
      <c r="B6" s="23">
        <v>252.79</v>
      </c>
      <c r="C6" s="23">
        <v>527.78</v>
      </c>
      <c r="D6" s="23">
        <v>259.10000000000002</v>
      </c>
      <c r="E6" s="23">
        <v>16</v>
      </c>
    </row>
    <row r="7" spans="1:5" ht="16.5" x14ac:dyDescent="0.25">
      <c r="A7" s="47">
        <v>6</v>
      </c>
      <c r="B7" s="23">
        <v>233.07</v>
      </c>
      <c r="C7" s="23">
        <v>490.5</v>
      </c>
      <c r="D7" s="23">
        <v>267.49</v>
      </c>
      <c r="E7" s="23">
        <v>20</v>
      </c>
    </row>
    <row r="8" spans="1:5" ht="16.5" x14ac:dyDescent="0.25">
      <c r="A8" s="46">
        <v>7</v>
      </c>
      <c r="B8" s="23">
        <v>214.27</v>
      </c>
      <c r="C8" s="23">
        <v>445.09</v>
      </c>
      <c r="D8" s="23">
        <v>402.32</v>
      </c>
      <c r="E8" s="23">
        <v>20</v>
      </c>
    </row>
    <row r="9" spans="1:5" ht="16.5" x14ac:dyDescent="0.25">
      <c r="A9" s="47">
        <v>8</v>
      </c>
      <c r="B9" s="23">
        <v>184.18</v>
      </c>
      <c r="C9" s="23">
        <v>552.86</v>
      </c>
      <c r="D9" s="23">
        <v>402.49</v>
      </c>
      <c r="E9" s="23">
        <v>16</v>
      </c>
    </row>
    <row r="10" spans="1:5" ht="16.5" x14ac:dyDescent="0.25">
      <c r="A10" s="47">
        <v>9</v>
      </c>
      <c r="B10" s="23">
        <v>223.08</v>
      </c>
      <c r="C10" s="23">
        <v>479.25</v>
      </c>
      <c r="D10" s="23">
        <v>276.77999999999997</v>
      </c>
      <c r="E10" s="23">
        <v>20</v>
      </c>
    </row>
    <row r="11" spans="1:5" ht="17.25" thickBot="1" x14ac:dyDescent="0.3">
      <c r="A11" s="48">
        <v>10</v>
      </c>
      <c r="B11" s="23">
        <v>337.5</v>
      </c>
      <c r="C11" s="23">
        <v>451.27</v>
      </c>
      <c r="D11" s="23">
        <v>299.17</v>
      </c>
      <c r="E11" s="23">
        <v>16</v>
      </c>
    </row>
    <row r="12" spans="1:5" x14ac:dyDescent="0.25">
      <c r="A12" s="32"/>
      <c r="B12" s="29"/>
      <c r="C12" s="30"/>
      <c r="D12" s="30"/>
      <c r="E12" s="33"/>
    </row>
    <row r="13" spans="1:5" x14ac:dyDescent="0.25">
      <c r="A13" s="32"/>
      <c r="B13" s="29"/>
      <c r="C13" s="30"/>
      <c r="D13" s="30"/>
      <c r="E13" s="33"/>
    </row>
    <row r="14" spans="1:5" x14ac:dyDescent="0.25">
      <c r="A14" s="32"/>
      <c r="B14" s="29"/>
      <c r="C14" s="30"/>
      <c r="D14" s="30"/>
      <c r="E14" s="33"/>
    </row>
    <row r="15" spans="1:5" x14ac:dyDescent="0.25">
      <c r="A15" s="32"/>
      <c r="B15" s="29"/>
      <c r="C15" s="31"/>
      <c r="D15" s="30"/>
      <c r="E15" s="33"/>
    </row>
    <row r="16" spans="1:5" x14ac:dyDescent="0.25">
      <c r="A16" s="32"/>
      <c r="B16" s="29"/>
      <c r="C16" s="31"/>
      <c r="D16" s="30"/>
      <c r="E16" s="33"/>
    </row>
    <row r="17" spans="1:5" x14ac:dyDescent="0.25">
      <c r="A17" s="32"/>
      <c r="B17" s="29"/>
      <c r="C17" s="30"/>
      <c r="D17" s="30"/>
      <c r="E17" s="33"/>
    </row>
    <row r="18" spans="1:5" ht="15.75" thickBot="1" x14ac:dyDescent="0.3">
      <c r="A18" s="34"/>
      <c r="B18" s="35"/>
      <c r="C18" s="36"/>
      <c r="D18" s="36"/>
      <c r="E18" s="37"/>
    </row>
    <row r="19" spans="1:5" x14ac:dyDescent="0.25">
      <c r="A19" s="39"/>
      <c r="B19" s="42"/>
      <c r="C19" s="43"/>
      <c r="D19" s="43"/>
      <c r="E19" s="43"/>
    </row>
    <row r="20" spans="1:5" x14ac:dyDescent="0.25">
      <c r="A20" s="55" t="s">
        <v>47</v>
      </c>
      <c r="B20" s="55"/>
      <c r="C20" s="55"/>
      <c r="D20" s="55"/>
      <c r="E20" s="55"/>
    </row>
    <row r="21" spans="1:5" x14ac:dyDescent="0.25">
      <c r="A21" s="39"/>
      <c r="B21" s="42"/>
      <c r="C21" s="43"/>
      <c r="D21" s="43"/>
      <c r="E21" s="43"/>
    </row>
    <row r="22" spans="1:5" ht="15.75" thickBot="1" x14ac:dyDescent="0.3">
      <c r="A22" s="27" t="s">
        <v>40</v>
      </c>
      <c r="B22" s="27" t="s">
        <v>37</v>
      </c>
      <c r="C22" s="28" t="s">
        <v>38</v>
      </c>
      <c r="D22" s="28" t="s">
        <v>39</v>
      </c>
    </row>
    <row r="23" spans="1:5" ht="17.25" thickTop="1" x14ac:dyDescent="0.25">
      <c r="A23" s="46">
        <v>1</v>
      </c>
      <c r="B23" s="53">
        <f>B2-$E$35/1000</f>
        <v>216.07240000000002</v>
      </c>
      <c r="C23" s="53">
        <f t="shared" ref="C23:D23" si="0">C2-$E$35/1000</f>
        <v>616.87239999999997</v>
      </c>
      <c r="D23" s="53">
        <f t="shared" si="0"/>
        <v>259.3424</v>
      </c>
    </row>
    <row r="24" spans="1:5" ht="16.5" x14ac:dyDescent="0.25">
      <c r="A24" s="47">
        <v>2</v>
      </c>
      <c r="B24" s="24">
        <f t="shared" ref="B24:D32" si="1">B3-$E$35/1000</f>
        <v>192.4024</v>
      </c>
      <c r="C24" s="53">
        <f t="shared" si="1"/>
        <v>437.97239999999999</v>
      </c>
      <c r="D24" s="53">
        <f t="shared" si="1"/>
        <v>256.70240000000001</v>
      </c>
    </row>
    <row r="25" spans="1:5" ht="16.5" x14ac:dyDescent="0.25">
      <c r="A25" s="47">
        <v>3</v>
      </c>
      <c r="B25" s="24">
        <f t="shared" si="1"/>
        <v>276.7824</v>
      </c>
      <c r="C25" s="53">
        <f t="shared" si="1"/>
        <v>402.30239999999998</v>
      </c>
      <c r="D25" s="53">
        <f t="shared" si="1"/>
        <v>251.34240000000003</v>
      </c>
    </row>
    <row r="26" spans="1:5" ht="16.5" x14ac:dyDescent="0.25">
      <c r="A26" s="46">
        <v>4</v>
      </c>
      <c r="B26" s="24">
        <f t="shared" si="1"/>
        <v>209.32240000000002</v>
      </c>
      <c r="C26" s="53">
        <f t="shared" si="1"/>
        <v>369.04239999999999</v>
      </c>
      <c r="D26" s="53">
        <f t="shared" si="1"/>
        <v>221.50240000000002</v>
      </c>
    </row>
    <row r="27" spans="1:5" ht="16.5" x14ac:dyDescent="0.25">
      <c r="A27" s="47">
        <v>5</v>
      </c>
      <c r="B27" s="24">
        <f t="shared" si="1"/>
        <v>252.7724</v>
      </c>
      <c r="C27" s="53">
        <f t="shared" si="1"/>
        <v>527.76239999999996</v>
      </c>
      <c r="D27" s="53">
        <f t="shared" si="1"/>
        <v>259.08240000000001</v>
      </c>
    </row>
    <row r="28" spans="1:5" ht="16.5" x14ac:dyDescent="0.25">
      <c r="A28" s="47">
        <v>6</v>
      </c>
      <c r="B28" s="24">
        <f t="shared" si="1"/>
        <v>233.05240000000001</v>
      </c>
      <c r="C28" s="53">
        <f t="shared" si="1"/>
        <v>490.48239999999998</v>
      </c>
      <c r="D28" s="53">
        <f t="shared" si="1"/>
        <v>267.47239999999999</v>
      </c>
    </row>
    <row r="29" spans="1:5" ht="16.5" x14ac:dyDescent="0.25">
      <c r="A29" s="46">
        <v>7</v>
      </c>
      <c r="B29" s="24">
        <f t="shared" si="1"/>
        <v>214.25240000000002</v>
      </c>
      <c r="C29" s="53">
        <f t="shared" si="1"/>
        <v>445.07239999999996</v>
      </c>
      <c r="D29" s="53">
        <f t="shared" si="1"/>
        <v>402.30239999999998</v>
      </c>
    </row>
    <row r="30" spans="1:5" ht="16.5" x14ac:dyDescent="0.25">
      <c r="A30" s="47">
        <v>8</v>
      </c>
      <c r="B30" s="24">
        <f t="shared" si="1"/>
        <v>184.16240000000002</v>
      </c>
      <c r="C30" s="53">
        <f t="shared" si="1"/>
        <v>552.8424</v>
      </c>
      <c r="D30" s="53">
        <f t="shared" si="1"/>
        <v>402.47239999999999</v>
      </c>
    </row>
    <row r="31" spans="1:5" ht="16.5" x14ac:dyDescent="0.25">
      <c r="A31" s="47">
        <v>9</v>
      </c>
      <c r="B31" s="24">
        <f t="shared" si="1"/>
        <v>223.06240000000003</v>
      </c>
      <c r="C31" s="53">
        <f t="shared" si="1"/>
        <v>479.23239999999998</v>
      </c>
      <c r="D31" s="53">
        <f t="shared" si="1"/>
        <v>276.76239999999996</v>
      </c>
    </row>
    <row r="32" spans="1:5" ht="17.25" thickBot="1" x14ac:dyDescent="0.3">
      <c r="A32" s="48">
        <v>10</v>
      </c>
      <c r="B32" s="24">
        <f t="shared" si="1"/>
        <v>337.48239999999998</v>
      </c>
      <c r="C32" s="53">
        <f t="shared" si="1"/>
        <v>451.25239999999997</v>
      </c>
      <c r="D32" s="53">
        <f t="shared" si="1"/>
        <v>299.1524</v>
      </c>
    </row>
    <row r="33" spans="1:5" x14ac:dyDescent="0.25">
      <c r="A33" s="39"/>
      <c r="B33" s="42"/>
      <c r="C33" s="43"/>
      <c r="D33" s="43"/>
      <c r="E33" s="43"/>
    </row>
    <row r="34" spans="1:5" x14ac:dyDescent="0.25">
      <c r="B34" s="40" t="s">
        <v>37</v>
      </c>
      <c r="C34" s="41" t="s">
        <v>38</v>
      </c>
      <c r="D34" s="41" t="s">
        <v>39</v>
      </c>
      <c r="E34" s="41" t="s">
        <v>41</v>
      </c>
    </row>
    <row r="35" spans="1:5" s="38" customFormat="1" x14ac:dyDescent="0.25">
      <c r="A35" s="56" t="s">
        <v>42</v>
      </c>
      <c r="B35" s="58">
        <f>AVERAGE(Tablica38[Vrijeme reakcije na svjetlost '[ms']])</f>
        <v>233.93639999999999</v>
      </c>
      <c r="C35" s="58">
        <f>AVERAGE(Tablica38[Vrijeme reakcije na svjetlost različitih boja '[ms']])</f>
        <v>477.28339999999997</v>
      </c>
      <c r="D35" s="58">
        <f>AVERAGE(Tablica38[Vrijeme reakcije na zvuk '[ms']])</f>
        <v>289.61340000000001</v>
      </c>
      <c r="E35" s="58">
        <f>AVERAGE(E2:E11)</f>
        <v>17.600000000000001</v>
      </c>
    </row>
    <row r="36" spans="1:5" s="38" customFormat="1" x14ac:dyDescent="0.25">
      <c r="A36" s="57"/>
      <c r="B36" s="59"/>
      <c r="C36" s="59"/>
      <c r="D36" s="59"/>
      <c r="E36" s="59"/>
    </row>
    <row r="37" spans="1:5" s="38" customFormat="1" x14ac:dyDescent="0.25">
      <c r="A37" s="44"/>
      <c r="B37" s="45"/>
      <c r="C37" s="45"/>
      <c r="D37" s="45"/>
      <c r="E37" s="45"/>
    </row>
    <row r="38" spans="1:5" s="38" customFormat="1" x14ac:dyDescent="0.25">
      <c r="A38" s="44"/>
      <c r="B38" s="40" t="s">
        <v>43</v>
      </c>
      <c r="C38" s="41" t="s">
        <v>44</v>
      </c>
      <c r="D38" s="41" t="s">
        <v>48</v>
      </c>
      <c r="E38" s="41" t="s">
        <v>45</v>
      </c>
    </row>
    <row r="39" spans="1:5" ht="15" customHeight="1" x14ac:dyDescent="0.25">
      <c r="A39" s="56" t="s">
        <v>46</v>
      </c>
      <c r="B39" s="58">
        <f>_xlfn.STDEV.P(Tablica38[Vrijeme reakcije na svjetlost '[ms']])</f>
        <v>43.065449771249384</v>
      </c>
      <c r="C39" s="58">
        <f>_xlfn.STDEV.P(Tablica38[Vrijeme reakcije na svjetlost različitih boja '[ms']])</f>
        <v>69.65570593282348</v>
      </c>
      <c r="D39" s="58">
        <f>_xlfn.STDEV.P(Tablica38[Vrijeme reakcije na zvuk '[ms']])</f>
        <v>59.344516418958271</v>
      </c>
      <c r="E39" s="58">
        <f t="shared" ref="E39" si="2">_xlfn.STDEV.P(E2:E11)</f>
        <v>1.9595917942265424</v>
      </c>
    </row>
    <row r="40" spans="1:5" x14ac:dyDescent="0.25">
      <c r="A40" s="57"/>
      <c r="B40" s="59"/>
      <c r="C40" s="59"/>
      <c r="D40" s="59"/>
      <c r="E40" s="59"/>
    </row>
  </sheetData>
  <mergeCells count="11">
    <mergeCell ref="A39:A40"/>
    <mergeCell ref="B39:B40"/>
    <mergeCell ref="C39:C40"/>
    <mergeCell ref="D39:D40"/>
    <mergeCell ref="E39:E40"/>
    <mergeCell ref="A20:E20"/>
    <mergeCell ref="A35:A36"/>
    <mergeCell ref="B35:B36"/>
    <mergeCell ref="C35:C36"/>
    <mergeCell ref="D35:D36"/>
    <mergeCell ref="E35:E36"/>
  </mergeCells>
  <dataValidations count="2">
    <dataValidation allowBlank="1" showInputMessage="1" showErrorMessage="1" prompt="TBL_HST[CH1]" sqref="B38 B34 A23:D32 B22 B1 A2:E11" xr:uid="{93D8E217-6CA0-4D02-BE6B-D722BAA96B4F}"/>
    <dataValidation allowBlank="1" showInputMessage="1" showErrorMessage="1" prompt="Vrijeme_x000d__x000a__x000d__x000a_TBL_HST[TIME]" sqref="A1 A22" xr:uid="{86960215-3FC7-44AA-A1C6-A0359E9528D5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mandButton1_Click">
                <anchor moveWithCells="1" sizeWithCells="1">
                  <from>
                    <xdr:col>1</xdr:col>
                    <xdr:colOff>209550</xdr:colOff>
                    <xdr:row>14</xdr:row>
                    <xdr:rowOff>19050</xdr:rowOff>
                  </from>
                  <to>
                    <xdr:col>1</xdr:col>
                    <xdr:colOff>2009775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ommandButton2_Click">
                <anchor moveWithCells="1" sizeWithCells="1">
                  <from>
                    <xdr:col>2</xdr:col>
                    <xdr:colOff>590550</xdr:colOff>
                    <xdr:row>14</xdr:row>
                    <xdr:rowOff>19050</xdr:rowOff>
                  </from>
                  <to>
                    <xdr:col>2</xdr:col>
                    <xdr:colOff>2390775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mmandButton3_Click">
                <anchor moveWithCells="1" sizeWithCells="1">
                  <from>
                    <xdr:col>3</xdr:col>
                    <xdr:colOff>266700</xdr:colOff>
                    <xdr:row>14</xdr:row>
                    <xdr:rowOff>9525</xdr:rowOff>
                  </from>
                  <to>
                    <xdr:col>3</xdr:col>
                    <xdr:colOff>2066925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mmandButton4_Click">
                <anchor moveWithCells="1" sizeWithCells="1">
                  <from>
                    <xdr:col>4</xdr:col>
                    <xdr:colOff>257175</xdr:colOff>
                    <xdr:row>14</xdr:row>
                    <xdr:rowOff>9525</xdr:rowOff>
                  </from>
                  <to>
                    <xdr:col>4</xdr:col>
                    <xdr:colOff>2057400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C08E3-847B-4D57-9A32-97A04FB311DD}">
  <sheetPr codeName="List2"/>
  <dimension ref="A1:K37"/>
  <sheetViews>
    <sheetView topLeftCell="A3" workbookViewId="0">
      <selection activeCell="M8" sqref="M8"/>
    </sheetView>
  </sheetViews>
  <sheetFormatPr defaultRowHeight="15" x14ac:dyDescent="0.25"/>
  <cols>
    <col min="1" max="1" width="14.7109375" style="1" customWidth="1"/>
    <col min="2" max="11" width="10.7109375" style="1" customWidth="1"/>
    <col min="12" max="12" width="20.7109375" style="1" customWidth="1"/>
    <col min="13" max="16384" width="9.140625" style="1"/>
  </cols>
  <sheetData>
    <row r="1" spans="1:11" ht="30.75" x14ac:dyDescent="0.55000000000000004">
      <c r="A1" s="60" t="s">
        <v>31</v>
      </c>
      <c r="B1" s="60"/>
      <c r="C1" s="60"/>
      <c r="D1" s="60"/>
      <c r="E1" s="60"/>
      <c r="F1" s="60"/>
      <c r="G1" s="60"/>
      <c r="H1" s="60"/>
      <c r="I1" s="60"/>
      <c r="J1" s="60"/>
    </row>
    <row r="2" spans="1:11" ht="16.5" x14ac:dyDescent="0.25">
      <c r="A2" s="61" t="s">
        <v>32</v>
      </c>
      <c r="B2" s="61"/>
      <c r="C2" s="61"/>
      <c r="D2" s="61"/>
      <c r="E2" s="61"/>
      <c r="F2" s="61"/>
      <c r="G2" s="61"/>
      <c r="H2" s="61"/>
      <c r="I2" s="61"/>
      <c r="J2" s="61"/>
    </row>
    <row r="3" spans="1:11" ht="33.6" customHeight="1" x14ac:dyDescent="0.35">
      <c r="A3" s="62" t="s">
        <v>33</v>
      </c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1" x14ac:dyDescent="0.25">
      <c r="A4" s="12" t="s">
        <v>34</v>
      </c>
      <c r="B4" s="12" t="s">
        <v>11</v>
      </c>
      <c r="C4" s="12" t="s">
        <v>13</v>
      </c>
      <c r="D4" s="12" t="s">
        <v>14</v>
      </c>
      <c r="E4" s="12" t="s">
        <v>15</v>
      </c>
      <c r="F4" s="12" t="s">
        <v>16</v>
      </c>
      <c r="G4" s="12" t="s">
        <v>17</v>
      </c>
      <c r="H4" s="12" t="s">
        <v>18</v>
      </c>
      <c r="I4" s="12" t="s">
        <v>19</v>
      </c>
      <c r="J4" s="12" t="s">
        <v>20</v>
      </c>
      <c r="K4" s="12" t="s">
        <v>21</v>
      </c>
    </row>
    <row r="5" spans="1:11" ht="19.5" customHeight="1" x14ac:dyDescent="0.25">
      <c r="A5" s="50">
        <v>44391.454232951386</v>
      </c>
      <c r="B5" s="22">
        <v>259.36</v>
      </c>
      <c r="C5" s="22"/>
      <c r="D5" s="22"/>
      <c r="E5" s="22"/>
      <c r="F5" s="22"/>
      <c r="G5" s="22"/>
      <c r="H5" s="22"/>
      <c r="I5" s="22"/>
      <c r="J5" s="22"/>
      <c r="K5" s="22"/>
    </row>
    <row r="6" spans="1:11" ht="33.6" customHeight="1" x14ac:dyDescent="0.35">
      <c r="A6" s="63" t="s">
        <v>35</v>
      </c>
      <c r="B6" s="63"/>
      <c r="C6" s="63"/>
      <c r="D6" s="63"/>
      <c r="E6" s="63"/>
      <c r="F6" s="63"/>
      <c r="G6" s="63"/>
      <c r="H6" s="63"/>
      <c r="I6" s="63"/>
      <c r="J6" s="63"/>
      <c r="K6" s="63"/>
    </row>
    <row r="7" spans="1:11" x14ac:dyDescent="0.25">
      <c r="A7" s="12" t="s">
        <v>34</v>
      </c>
      <c r="B7" s="12" t="s">
        <v>11</v>
      </c>
      <c r="C7" s="12" t="s">
        <v>13</v>
      </c>
      <c r="D7" s="12" t="s">
        <v>14</v>
      </c>
      <c r="E7" s="12" t="s">
        <v>15</v>
      </c>
      <c r="F7" s="12" t="s">
        <v>16</v>
      </c>
      <c r="G7" s="12" t="s">
        <v>17</v>
      </c>
      <c r="H7" s="12" t="s">
        <v>18</v>
      </c>
      <c r="I7" s="12" t="s">
        <v>19</v>
      </c>
      <c r="J7" s="12" t="s">
        <v>20</v>
      </c>
      <c r="K7" s="12" t="s">
        <v>21</v>
      </c>
    </row>
    <row r="8" spans="1:11" ht="19.5" customHeight="1" x14ac:dyDescent="0.25">
      <c r="A8" s="52">
        <v>44391.454232951386</v>
      </c>
      <c r="B8" s="24">
        <v>259.36</v>
      </c>
      <c r="C8" s="24"/>
      <c r="D8" s="24"/>
      <c r="E8" s="24"/>
      <c r="F8" s="24"/>
      <c r="G8" s="24"/>
      <c r="H8" s="24"/>
      <c r="I8" s="24"/>
      <c r="J8" s="24"/>
      <c r="K8" s="24"/>
    </row>
    <row r="9" spans="1:11" ht="19.5" customHeight="1" x14ac:dyDescent="0.25">
      <c r="A9" s="51">
        <v>44391.454177129628</v>
      </c>
      <c r="B9" s="23">
        <v>256.72000000000003</v>
      </c>
      <c r="C9" s="23"/>
      <c r="D9" s="23"/>
      <c r="E9" s="23"/>
      <c r="F9" s="23"/>
      <c r="G9" s="23"/>
      <c r="H9" s="23"/>
      <c r="I9" s="23"/>
      <c r="J9" s="23"/>
      <c r="K9" s="23"/>
    </row>
    <row r="10" spans="1:11" ht="19.5" customHeight="1" x14ac:dyDescent="0.25">
      <c r="A10" s="51">
        <v>44391.45411810185</v>
      </c>
      <c r="B10" s="23">
        <v>251.36</v>
      </c>
      <c r="C10" s="23"/>
      <c r="D10" s="23"/>
      <c r="E10" s="23"/>
      <c r="F10" s="23"/>
      <c r="G10" s="23"/>
      <c r="H10" s="23"/>
      <c r="I10" s="23"/>
      <c r="J10" s="23"/>
      <c r="K10" s="23"/>
    </row>
    <row r="11" spans="1:11" ht="19.5" customHeight="1" x14ac:dyDescent="0.25">
      <c r="A11" s="51">
        <v>44391.454070312502</v>
      </c>
      <c r="B11" s="23">
        <v>221.52</v>
      </c>
      <c r="C11" s="23"/>
      <c r="D11" s="23"/>
      <c r="E11" s="23"/>
      <c r="F11" s="23"/>
      <c r="G11" s="23"/>
      <c r="H11" s="23"/>
      <c r="I11" s="23"/>
      <c r="J11" s="23"/>
      <c r="K11" s="23"/>
    </row>
    <row r="12" spans="1:11" ht="19.5" customHeight="1" x14ac:dyDescent="0.25">
      <c r="A12" s="51">
        <v>44391.454025740743</v>
      </c>
      <c r="B12" s="23">
        <v>259.10000000000002</v>
      </c>
      <c r="C12" s="23"/>
      <c r="D12" s="23"/>
      <c r="E12" s="23"/>
      <c r="F12" s="23"/>
      <c r="G12" s="23"/>
      <c r="H12" s="23"/>
      <c r="I12" s="23"/>
      <c r="J12" s="23"/>
      <c r="K12" s="23"/>
    </row>
    <row r="13" spans="1:11" ht="19.5" customHeight="1" x14ac:dyDescent="0.25">
      <c r="A13" s="51">
        <v>44391.453984386571</v>
      </c>
      <c r="B13" s="23">
        <v>267.49</v>
      </c>
      <c r="C13" s="23"/>
      <c r="D13" s="23"/>
      <c r="E13" s="23"/>
      <c r="F13" s="23"/>
      <c r="G13" s="23"/>
      <c r="H13" s="23"/>
      <c r="I13" s="23"/>
      <c r="J13" s="23"/>
      <c r="K13" s="23"/>
    </row>
    <row r="14" spans="1:11" ht="19.5" customHeight="1" x14ac:dyDescent="0.25">
      <c r="A14" s="51">
        <v>44391.45392832176</v>
      </c>
      <c r="B14" s="23">
        <v>402.32</v>
      </c>
      <c r="C14" s="23"/>
      <c r="D14" s="23"/>
      <c r="E14" s="23"/>
      <c r="F14" s="23"/>
      <c r="G14" s="23"/>
      <c r="H14" s="23"/>
      <c r="I14" s="23"/>
      <c r="J14" s="23"/>
      <c r="K14" s="23"/>
    </row>
    <row r="15" spans="1:11" ht="19.5" customHeight="1" x14ac:dyDescent="0.25">
      <c r="A15" s="51">
        <v>44391.45389780093</v>
      </c>
      <c r="B15" s="23">
        <v>402.49</v>
      </c>
      <c r="C15" s="23"/>
      <c r="D15" s="23"/>
      <c r="E15" s="23"/>
      <c r="F15" s="23"/>
      <c r="G15" s="23"/>
      <c r="H15" s="23"/>
      <c r="I15" s="23"/>
      <c r="J15" s="23"/>
      <c r="K15" s="23"/>
    </row>
    <row r="16" spans="1:11" ht="19.5" customHeight="1" x14ac:dyDescent="0.25">
      <c r="A16" s="51">
        <v>44391.453850983795</v>
      </c>
      <c r="B16" s="23">
        <v>276.77999999999997</v>
      </c>
      <c r="C16" s="23"/>
      <c r="D16" s="23"/>
      <c r="E16" s="23"/>
      <c r="F16" s="23"/>
      <c r="G16" s="23"/>
      <c r="H16" s="23"/>
      <c r="I16" s="23"/>
      <c r="J16" s="23"/>
      <c r="K16" s="23"/>
    </row>
    <row r="17" spans="1:11" ht="19.5" customHeight="1" x14ac:dyDescent="0.25">
      <c r="A17" s="51">
        <v>44391.453804340279</v>
      </c>
      <c r="B17" s="23">
        <v>299.17</v>
      </c>
      <c r="C17" s="23"/>
      <c r="D17" s="23"/>
      <c r="E17" s="23"/>
      <c r="F17" s="23"/>
      <c r="G17" s="23"/>
      <c r="H17" s="23"/>
      <c r="I17" s="23"/>
      <c r="J17" s="23"/>
      <c r="K17" s="23"/>
    </row>
    <row r="18" spans="1:11" ht="19.5" customHeight="1" x14ac:dyDescent="0.25"/>
    <row r="19" spans="1:11" ht="19.5" customHeight="1" x14ac:dyDescent="0.25"/>
    <row r="20" spans="1:11" ht="19.5" customHeight="1" x14ac:dyDescent="0.25"/>
    <row r="21" spans="1:11" ht="19.5" customHeight="1" x14ac:dyDescent="0.25"/>
    <row r="22" spans="1:11" ht="19.5" customHeight="1" x14ac:dyDescent="0.25"/>
    <row r="23" spans="1:11" ht="19.5" customHeight="1" x14ac:dyDescent="0.25"/>
    <row r="24" spans="1:11" ht="19.5" customHeight="1" x14ac:dyDescent="0.25"/>
    <row r="25" spans="1:11" ht="19.5" customHeight="1" x14ac:dyDescent="0.25"/>
    <row r="26" spans="1:11" ht="19.5" customHeight="1" x14ac:dyDescent="0.25"/>
    <row r="27" spans="1:11" ht="19.5" customHeight="1" x14ac:dyDescent="0.25"/>
    <row r="28" spans="1:11" ht="19.5" customHeight="1" x14ac:dyDescent="0.25"/>
    <row r="29" spans="1:11" ht="19.5" customHeight="1" x14ac:dyDescent="0.25"/>
    <row r="30" spans="1:11" ht="19.5" customHeight="1" x14ac:dyDescent="0.25"/>
    <row r="31" spans="1:11" ht="19.5" customHeight="1" x14ac:dyDescent="0.25"/>
    <row r="32" spans="1:11" ht="19.5" customHeight="1" x14ac:dyDescent="0.25"/>
    <row r="33" s="1" customFormat="1" ht="19.5" customHeight="1" x14ac:dyDescent="0.25"/>
    <row r="34" s="1" customFormat="1" ht="19.5" customHeight="1" x14ac:dyDescent="0.25"/>
    <row r="35" s="1" customFormat="1" ht="19.5" customHeight="1" x14ac:dyDescent="0.25"/>
    <row r="36" s="1" customFormat="1" ht="19.5" customHeight="1" x14ac:dyDescent="0.25"/>
    <row r="37" s="1" customFormat="1" ht="19.5" customHeight="1" x14ac:dyDescent="0.25"/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Vrijeme_x000d__x000a__x000d__x000a_TBL_CUR[TIME]" sqref="A5" xr:uid="{21F79BBC-7ECE-4EDA-B515-FAE864C9E90B}"/>
    <dataValidation allowBlank="1" showInputMessage="1" showErrorMessage="1" prompt="TBL_CUR[CH1]" sqref="B5" xr:uid="{E24C11F4-C6F8-4E6B-A62D-54F45DC79663}"/>
    <dataValidation allowBlank="1" showInputMessage="1" showErrorMessage="1" prompt="TBL_CUR[CH2]" sqref="C5" xr:uid="{7966E81F-DABD-4081-910E-5E12C05478C4}"/>
    <dataValidation allowBlank="1" showInputMessage="1" showErrorMessage="1" prompt="TBL_CUR[CH3]" sqref="D5" xr:uid="{81E2FD3C-96C0-4972-905B-5ED75519399A}"/>
    <dataValidation allowBlank="1" showInputMessage="1" showErrorMessage="1" prompt="TBL_CUR[CH4]" sqref="E5" xr:uid="{4D161A59-43E7-4219-9411-96E6820F29AC}"/>
    <dataValidation allowBlank="1" showInputMessage="1" showErrorMessage="1" prompt="TBL_CUR[CH5]" sqref="F5" xr:uid="{4E538707-9374-4CBB-8D2E-ED68D73433B7}"/>
    <dataValidation allowBlank="1" showInputMessage="1" showErrorMessage="1" prompt="TBL_CUR[CH6]" sqref="G5" xr:uid="{BE0B5E32-A616-41E2-9D44-048F694C7AC5}"/>
    <dataValidation allowBlank="1" showInputMessage="1" showErrorMessage="1" prompt="TBL_CUR[CH7]" sqref="H5" xr:uid="{3BC7AD3B-19AB-4DD9-B400-EAE1F970026C}"/>
    <dataValidation allowBlank="1" showInputMessage="1" showErrorMessage="1" prompt="TBL_CUR[CH8]" sqref="I5" xr:uid="{38150EA2-D80D-4056-914A-A20D185AAC38}"/>
    <dataValidation allowBlank="1" showInputMessage="1" showErrorMessage="1" prompt="TBL_CUR[CH9]" sqref="J5" xr:uid="{DF89A60F-6D78-44F9-9334-D96002011A98}"/>
    <dataValidation allowBlank="1" showInputMessage="1" showErrorMessage="1" prompt="TBL_CUR[CH10]" sqref="K5" xr:uid="{9D0CE5CD-AF7B-4A4A-BF80-0F953068C525}"/>
    <dataValidation allowBlank="1" showInputMessage="1" showErrorMessage="1" prompt="TBL_HST[CH2]" sqref="C8:C17" xr:uid="{58CFF8E8-CF18-48E7-B65C-D0E55AA7772B}"/>
    <dataValidation allowBlank="1" showInputMessage="1" showErrorMessage="1" prompt="TBL_HST[CH3]" sqref="D8:D17" xr:uid="{F2AD78C1-9A62-4B82-9DCE-800E4331DFFE}"/>
    <dataValidation allowBlank="1" showInputMessage="1" showErrorMessage="1" prompt="TBL_HST[CH4]" sqref="E8:E17" xr:uid="{11C4D317-5689-49A3-8E0A-CAF1D1FFFD66}"/>
    <dataValidation allowBlank="1" showInputMessage="1" showErrorMessage="1" prompt="TBL_HST[CH5]" sqref="F8:F17" xr:uid="{60179076-618D-4445-B71F-40AA354B3B4D}"/>
    <dataValidation allowBlank="1" showInputMessage="1" showErrorMessage="1" prompt="TBL_HST[CH6]" sqref="G8:G17" xr:uid="{683514F6-6E31-4B63-BB26-34DD5637A901}"/>
    <dataValidation allowBlank="1" showInputMessage="1" showErrorMessage="1" prompt="TBL_HST[CH7]" sqref="H8:H17" xr:uid="{0B9B020B-3895-4DD9-88E3-7460274A4698}"/>
    <dataValidation allowBlank="1" showInputMessage="1" showErrorMessage="1" prompt="TBL_HST[CH8]" sqref="I8:I17" xr:uid="{0F7AB299-0E01-4CB0-8B1D-B0295870F812}"/>
    <dataValidation allowBlank="1" showInputMessage="1" showErrorMessage="1" prompt="TBL_HST[CH9]" sqref="J8:J17" xr:uid="{FBF42B92-4459-4909-9F52-7925D1A8B8D4}"/>
    <dataValidation allowBlank="1" showInputMessage="1" showErrorMessage="1" prompt="TBL_HST[CH10]" sqref="K8:K17" xr:uid="{3B16CC3A-144C-4273-98B7-1DC328D3F6FC}"/>
    <dataValidation allowBlank="1" showInputMessage="1" showErrorMessage="1" prompt="Vrijeme_x000d__x000a__x000d__x000a_TBL_HST[TIME]" sqref="A8:A17" xr:uid="{1924411C-8F2A-4414-98E1-E53418CAE1A0}"/>
    <dataValidation allowBlank="1" showInputMessage="1" showErrorMessage="1" prompt="TBL_HST[CH1]" sqref="B8:B17" xr:uid="{685E0263-F410-486D-A43C-F1ED8AEC079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F83AA-BD40-4E6E-BA6B-903902790B12}">
  <sheetPr codeName="List3"/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64" t="s">
        <v>29</v>
      </c>
      <c r="B1" s="64"/>
      <c r="C1" s="64"/>
      <c r="D1" s="64"/>
      <c r="E1" s="64"/>
      <c r="F1" s="64"/>
      <c r="G1" s="64"/>
      <c r="H1" s="64"/>
    </row>
    <row r="2" spans="1:10" ht="16.5" x14ac:dyDescent="0.25">
      <c r="A2" s="65" t="s">
        <v>30</v>
      </c>
      <c r="B2" s="65"/>
      <c r="C2" s="65"/>
      <c r="D2" s="65"/>
      <c r="E2" s="65"/>
      <c r="F2" s="65"/>
      <c r="G2" s="65"/>
      <c r="H2" s="65"/>
    </row>
    <row r="3" spans="1:10" ht="17.45" customHeight="1" x14ac:dyDescent="0.25"/>
    <row r="4" spans="1:10" ht="19.5" customHeight="1" x14ac:dyDescent="0.25">
      <c r="A4" s="9" t="s">
        <v>11</v>
      </c>
      <c r="B4" s="10" t="s">
        <v>13</v>
      </c>
      <c r="C4" s="10" t="s">
        <v>14</v>
      </c>
      <c r="D4" s="10" t="s">
        <v>15</v>
      </c>
      <c r="E4" s="10" t="s">
        <v>16</v>
      </c>
      <c r="F4" s="10" t="s">
        <v>17</v>
      </c>
      <c r="G4" s="10" t="s">
        <v>18</v>
      </c>
      <c r="H4" s="10" t="s">
        <v>19</v>
      </c>
      <c r="I4" s="10" t="s">
        <v>20</v>
      </c>
      <c r="J4" s="10" t="s">
        <v>21</v>
      </c>
    </row>
    <row r="5" spans="1:10" ht="27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BB65-800C-4501-A125-4F38E87F9028}">
  <sheetPr codeName="List4"/>
  <dimension ref="A1:E13"/>
  <sheetViews>
    <sheetView workbookViewId="0">
      <selection activeCell="F12" sqref="F12"/>
    </sheetView>
  </sheetViews>
  <sheetFormatPr defaultRowHeight="15" x14ac:dyDescent="0.25"/>
  <cols>
    <col min="1" max="1" width="30.7109375" style="5" customWidth="1"/>
    <col min="2" max="2" width="0.140625" style="5" customWidth="1"/>
    <col min="3" max="3" width="30.7109375" style="5" customWidth="1"/>
    <col min="4" max="16384" width="9.140625" style="5"/>
  </cols>
  <sheetData>
    <row r="1" spans="1:5" ht="30.75" x14ac:dyDescent="0.55000000000000004">
      <c r="A1" s="66" t="s">
        <v>22</v>
      </c>
      <c r="B1" s="66"/>
      <c r="C1" s="66"/>
      <c r="D1" s="66"/>
      <c r="E1" s="66"/>
    </row>
    <row r="2" spans="1:5" ht="50.1" customHeight="1" x14ac:dyDescent="0.25">
      <c r="A2" s="67" t="s">
        <v>23</v>
      </c>
      <c r="B2" s="67"/>
      <c r="C2" s="67"/>
      <c r="D2" s="67"/>
      <c r="E2" s="67"/>
    </row>
    <row r="3" spans="1:5" ht="4.5" customHeight="1" x14ac:dyDescent="0.25"/>
    <row r="4" spans="1:5" ht="24" customHeight="1" x14ac:dyDescent="0.25">
      <c r="A4" s="6" t="s">
        <v>2</v>
      </c>
      <c r="B4" s="7">
        <v>150</v>
      </c>
      <c r="C4" s="8">
        <v>150</v>
      </c>
    </row>
    <row r="5" spans="1:5" ht="4.5" customHeight="1" x14ac:dyDescent="0.25"/>
    <row r="6" spans="1:5" ht="24" customHeight="1" x14ac:dyDescent="0.25">
      <c r="A6" s="6" t="s">
        <v>24</v>
      </c>
      <c r="B6" s="7">
        <v>15</v>
      </c>
      <c r="C6" s="8">
        <v>10</v>
      </c>
    </row>
    <row r="7" spans="1:5" ht="4.5" customHeight="1" x14ac:dyDescent="0.25"/>
    <row r="8" spans="1:5" ht="24" customHeight="1" x14ac:dyDescent="0.25">
      <c r="A8" s="6" t="s">
        <v>25</v>
      </c>
      <c r="B8" s="7">
        <v>10</v>
      </c>
      <c r="C8" s="8">
        <v>10</v>
      </c>
    </row>
    <row r="9" spans="1:5" ht="4.5" customHeight="1" x14ac:dyDescent="0.25"/>
    <row r="10" spans="1:5" ht="24" customHeight="1" x14ac:dyDescent="0.25">
      <c r="A10" s="6" t="s">
        <v>26</v>
      </c>
      <c r="B10" s="7" t="s">
        <v>27</v>
      </c>
      <c r="C10" s="8" t="s">
        <v>36</v>
      </c>
    </row>
    <row r="13" spans="1:5" ht="50.1" customHeight="1" x14ac:dyDescent="0.25">
      <c r="A13" s="68" t="s">
        <v>28</v>
      </c>
      <c r="B13" s="68"/>
      <c r="C13" s="68"/>
      <c r="D13" s="68"/>
      <c r="E13" s="68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rijednost mora biti u rasponu od 10 do 1000" prompt="Minimalno trajanje između očitanja podataka u milisekundama. 10 1000" sqref="C4" xr:uid="{AB8F6A18-BACB-40BA-BAC4-69F4D288C93D}">
      <formula1>10</formula1>
      <formula2>1000</formula2>
    </dataValidation>
    <dataValidation type="whole" allowBlank="1" showInputMessage="1" showErrorMessage="1" error="Vrijednost mora biti u rasponu od 1 do 1000000" prompt="Broj povijesnih podatkovnih redaka koje treba sačuvati. 1 do 1000000" sqref="C6" xr:uid="{D020DFB2-7A5D-4DD0-AA95-D9F321E2D591}">
      <formula1>1</formula1>
      <formula2>1000000</formula2>
    </dataValidation>
    <dataValidation type="whole" allowBlank="1" showInputMessage="1" showErrorMessage="1" error="Vrijednost mora biti u rasponu od 1 do 1000" prompt="Broj stupaca podataka za čitanje. 1 do 1000" sqref="C8" xr:uid="{DB6D87CA-A11A-47CD-86AC-D4DA1227DB38}">
      <formula1>1</formula1>
      <formula2>1000</formula2>
    </dataValidation>
    <dataValidation type="list" errorStyle="information" allowBlank="1" showInputMessage="1" sqref="C10" xr:uid="{D7BE1B17-41BF-4006-BAF0-8EA292C84793}">
      <formula1>"Prvo najnovije,Najnovije posljednje"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5E673-E6BA-4AC2-8E75-F81D572A073D}">
  <sheetPr codeName="List5"/>
  <dimension ref="A1:K16"/>
  <sheetViews>
    <sheetView workbookViewId="0">
      <selection sqref="A1:G1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1" ht="30.75" x14ac:dyDescent="0.55000000000000004">
      <c r="A1" s="71" t="s">
        <v>4</v>
      </c>
      <c r="B1" s="71"/>
      <c r="C1" s="71"/>
      <c r="D1" s="71"/>
      <c r="E1" s="71"/>
      <c r="F1" s="71"/>
      <c r="G1" s="71"/>
    </row>
    <row r="2" spans="1:11" ht="48" customHeight="1" x14ac:dyDescent="0.25">
      <c r="A2" s="72" t="s">
        <v>5</v>
      </c>
      <c r="B2" s="72"/>
      <c r="C2" s="72"/>
      <c r="D2" s="72"/>
      <c r="E2" s="72"/>
      <c r="F2" s="72"/>
      <c r="G2" s="72"/>
    </row>
    <row r="3" spans="1:11" ht="26.1" customHeight="1" x14ac:dyDescent="0.5">
      <c r="B3" s="76" t="s">
        <v>0</v>
      </c>
      <c r="C3" s="76"/>
      <c r="D3" s="76"/>
      <c r="E3" s="76"/>
      <c r="F3" s="76"/>
      <c r="G3" s="76"/>
      <c r="H3" s="76"/>
    </row>
    <row r="4" spans="1:11" ht="26.1" customHeight="1" x14ac:dyDescent="0.3">
      <c r="B4" s="73"/>
      <c r="C4" s="73"/>
      <c r="D4" s="73"/>
      <c r="E4" s="73"/>
      <c r="F4" s="73"/>
      <c r="G4" s="73"/>
      <c r="I4" s="69" t="s">
        <v>1</v>
      </c>
      <c r="J4" s="69"/>
    </row>
    <row r="5" spans="1:11" ht="24" customHeight="1" x14ac:dyDescent="0.25">
      <c r="B5" s="74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70" t="s">
        <v>49</v>
      </c>
      <c r="J5" s="70"/>
      <c r="K5" s="3">
        <v>1</v>
      </c>
    </row>
    <row r="6" spans="1:11" ht="24" customHeight="1" x14ac:dyDescent="0.3">
      <c r="B6" s="74"/>
      <c r="C6" s="14" t="s">
        <v>11</v>
      </c>
      <c r="D6" s="15" t="s">
        <v>11</v>
      </c>
      <c r="E6" s="15"/>
      <c r="F6" s="15"/>
      <c r="G6" s="13" t="s">
        <v>12</v>
      </c>
      <c r="I6" s="69" t="s">
        <v>2</v>
      </c>
      <c r="J6" s="69"/>
    </row>
    <row r="7" spans="1:11" ht="24" customHeight="1" x14ac:dyDescent="0.25">
      <c r="B7" s="74"/>
      <c r="C7" s="17" t="s">
        <v>13</v>
      </c>
      <c r="D7" s="18" t="s">
        <v>13</v>
      </c>
      <c r="E7" s="18"/>
      <c r="F7" s="18"/>
      <c r="G7" s="16" t="s">
        <v>12</v>
      </c>
      <c r="I7" s="54">
        <v>150</v>
      </c>
    </row>
    <row r="8" spans="1:11" ht="24" customHeight="1" x14ac:dyDescent="0.3">
      <c r="B8" s="74"/>
      <c r="C8" s="17" t="s">
        <v>14</v>
      </c>
      <c r="D8" s="18" t="s">
        <v>14</v>
      </c>
      <c r="E8" s="18"/>
      <c r="F8" s="18"/>
      <c r="G8" s="16" t="s">
        <v>12</v>
      </c>
      <c r="I8" s="69" t="s">
        <v>3</v>
      </c>
      <c r="J8" s="69"/>
    </row>
    <row r="9" spans="1:11" ht="24" customHeight="1" x14ac:dyDescent="0.25">
      <c r="B9" s="74"/>
      <c r="C9" s="17" t="s">
        <v>15</v>
      </c>
      <c r="D9" s="18" t="s">
        <v>15</v>
      </c>
      <c r="E9" s="18"/>
      <c r="F9" s="18"/>
      <c r="G9" s="16" t="s">
        <v>12</v>
      </c>
      <c r="I9" s="54">
        <v>9600</v>
      </c>
    </row>
    <row r="10" spans="1:11" ht="24" customHeight="1" x14ac:dyDescent="0.25">
      <c r="B10" s="74"/>
      <c r="C10" s="17" t="s">
        <v>16</v>
      </c>
      <c r="D10" s="18" t="s">
        <v>16</v>
      </c>
      <c r="E10" s="18"/>
      <c r="F10" s="18"/>
      <c r="G10" s="16" t="s">
        <v>12</v>
      </c>
    </row>
    <row r="11" spans="1:11" ht="24" customHeight="1" x14ac:dyDescent="0.25">
      <c r="B11" s="74"/>
      <c r="C11" s="17" t="s">
        <v>17</v>
      </c>
      <c r="D11" s="18" t="s">
        <v>17</v>
      </c>
      <c r="E11" s="18"/>
      <c r="F11" s="18"/>
      <c r="G11" s="16" t="s">
        <v>12</v>
      </c>
    </row>
    <row r="12" spans="1:11" ht="24" customHeight="1" x14ac:dyDescent="0.25">
      <c r="B12" s="74"/>
      <c r="C12" s="17" t="s">
        <v>18</v>
      </c>
      <c r="D12" s="18" t="s">
        <v>18</v>
      </c>
      <c r="E12" s="18"/>
      <c r="F12" s="18"/>
      <c r="G12" s="16" t="s">
        <v>12</v>
      </c>
    </row>
    <row r="13" spans="1:11" ht="24" customHeight="1" x14ac:dyDescent="0.25">
      <c r="B13" s="74"/>
      <c r="C13" s="17" t="s">
        <v>19</v>
      </c>
      <c r="D13" s="18" t="s">
        <v>19</v>
      </c>
      <c r="E13" s="18"/>
      <c r="F13" s="18"/>
      <c r="G13" s="16" t="s">
        <v>12</v>
      </c>
    </row>
    <row r="14" spans="1:11" ht="24" customHeight="1" x14ac:dyDescent="0.25">
      <c r="B14" s="74"/>
      <c r="C14" s="17" t="s">
        <v>20</v>
      </c>
      <c r="D14" s="18" t="s">
        <v>20</v>
      </c>
      <c r="E14" s="18"/>
      <c r="F14" s="18"/>
      <c r="G14" s="16" t="s">
        <v>12</v>
      </c>
    </row>
    <row r="15" spans="1:11" ht="24" customHeight="1" thickBot="1" x14ac:dyDescent="0.3">
      <c r="B15" s="75"/>
      <c r="C15" s="19" t="s">
        <v>21</v>
      </c>
      <c r="D15" s="20" t="s">
        <v>21</v>
      </c>
      <c r="E15" s="20"/>
      <c r="F15" s="20"/>
      <c r="G15" s="21" t="s">
        <v>12</v>
      </c>
    </row>
    <row r="16" spans="1:11" ht="15.75" thickTop="1" x14ac:dyDescent="0.25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8E7127-3EB0-44DA-8563-D56ADE893E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5</vt:i4>
      </vt:variant>
      <vt:variant>
        <vt:lpstr>Imenovani rasponi</vt:lpstr>
      </vt:variant>
      <vt:variant>
        <vt:i4>8</vt:i4>
      </vt:variant>
    </vt:vector>
  </HeadingPairs>
  <TitlesOfParts>
    <vt:vector size="13" baseType="lpstr">
      <vt:lpstr>list</vt:lpstr>
      <vt:lpstr>Podaci u</vt:lpstr>
      <vt:lpstr>Podaci izvan</vt:lpstr>
      <vt:lpstr>Postavke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</dc:creator>
  <cp:lastModifiedBy>Nikola</cp:lastModifiedBy>
  <dcterms:created xsi:type="dcterms:W3CDTF">2021-05-04T08:56:03Z</dcterms:created>
  <dcterms:modified xsi:type="dcterms:W3CDTF">2021-07-14T08:55:12Z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32e5642e-c941-44ca-81e6-11db9de964ff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